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Tutor Joes\Desktop\"/>
    </mc:Choice>
  </mc:AlternateContent>
  <xr:revisionPtr revIDLastSave="0" documentId="13_ncr:1_{7AC1E4BA-98DF-4DA8-8225-4374DB9C1C1C}" xr6:coauthVersionLast="36" xr6:coauthVersionMax="36" xr10:uidLastSave="{00000000-0000-0000-0000-000000000000}"/>
  <bookViews>
    <workbookView xWindow="0" yWindow="0" windowWidth="28800" windowHeight="12225" activeTab="3" xr2:uid="{28DA4629-7CB4-47DB-B6B7-7A43573FB0BA}"/>
  </bookViews>
  <sheets>
    <sheet name="Invoice" sheetId="1" r:id="rId1"/>
    <sheet name="Customers" sheetId="2" r:id="rId2"/>
    <sheet name="Products" sheetId="3" r:id="rId3"/>
    <sheet name="Sales Report" sheetId="4" r:id="rId4"/>
  </sheets>
  <functionGroups builtInGroupCount="19"/>
  <definedNames>
    <definedName name="CUSTOMER">Table1[Name]</definedName>
    <definedName name="PRODUCTS">Table2[PRODUCT]</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1" l="1"/>
  <c r="F14" i="1" s="1"/>
  <c r="E15" i="1"/>
  <c r="F15" i="1" s="1"/>
  <c r="E16" i="1"/>
  <c r="F16" i="1" s="1"/>
  <c r="E17" i="1"/>
  <c r="F17" i="1" s="1"/>
  <c r="E18" i="1"/>
  <c r="F18" i="1" s="1"/>
  <c r="E19" i="1"/>
  <c r="F19" i="1" s="1"/>
  <c r="E20" i="1"/>
  <c r="F20" i="1" s="1"/>
  <c r="E21" i="1"/>
  <c r="F21" i="1" s="1"/>
  <c r="E22" i="1"/>
  <c r="F22" i="1" s="1"/>
  <c r="E23" i="1"/>
  <c r="F23" i="1" s="1"/>
  <c r="E24" i="1"/>
  <c r="F24" i="1" s="1"/>
  <c r="E25" i="1"/>
  <c r="F25" i="1" s="1"/>
  <c r="E26" i="1"/>
  <c r="F26" i="1" s="1"/>
  <c r="E27" i="1"/>
  <c r="F27" i="1" s="1"/>
  <c r="E28" i="1"/>
  <c r="F28" i="1" s="1"/>
  <c r="E29" i="1"/>
  <c r="F29" i="1" s="1"/>
  <c r="E13" i="1"/>
  <c r="F13" i="1" s="1"/>
  <c r="C29" i="1"/>
  <c r="C14" i="1"/>
  <c r="C15" i="1"/>
  <c r="C16" i="1"/>
  <c r="C17" i="1"/>
  <c r="C18" i="1"/>
  <c r="C19" i="1"/>
  <c r="C20" i="1"/>
  <c r="C21" i="1"/>
  <c r="C22" i="1"/>
  <c r="C23" i="1"/>
  <c r="C24" i="1"/>
  <c r="C25" i="1"/>
  <c r="C26" i="1"/>
  <c r="C27" i="1"/>
  <c r="C28" i="1"/>
  <c r="C13" i="1"/>
  <c r="A24" i="1"/>
  <c r="A25" i="1"/>
  <c r="A26" i="1"/>
  <c r="A27" i="1"/>
  <c r="A28" i="1"/>
  <c r="A29" i="1"/>
  <c r="A14" i="1"/>
  <c r="A15" i="1"/>
  <c r="A16" i="1"/>
  <c r="A17" i="1"/>
  <c r="A18" i="1"/>
  <c r="A19" i="1"/>
  <c r="A20" i="1"/>
  <c r="A21" i="1"/>
  <c r="A22" i="1"/>
  <c r="A23" i="1"/>
  <c r="A13" i="1"/>
  <c r="E9" i="1"/>
  <c r="E11" i="1"/>
  <c r="A9" i="1"/>
  <c r="G8" i="1" l="1"/>
  <c r="F31" i="1" l="1"/>
  <c r="F32" i="1" l="1"/>
  <c r="F33" i="1" s="1"/>
  <c r="F36" i="1" l="1"/>
  <c r="B34" i="1"/>
</calcChain>
</file>

<file path=xl/sharedStrings.xml><?xml version="1.0" encoding="utf-8"?>
<sst xmlns="http://schemas.openxmlformats.org/spreadsheetml/2006/main" count="56" uniqueCount="50">
  <si>
    <t>M/s</t>
  </si>
  <si>
    <t>DESCRIPTION OF GOODS</t>
  </si>
  <si>
    <t>HSN/SAC CODE</t>
  </si>
  <si>
    <t>RATE</t>
  </si>
  <si>
    <t>AMOUNT</t>
  </si>
  <si>
    <t>Transport &amp; Forwarding</t>
  </si>
  <si>
    <t>Total</t>
  </si>
  <si>
    <t>CGST  9%</t>
  </si>
  <si>
    <t>SGST  9%</t>
  </si>
  <si>
    <t>Rounded Off</t>
  </si>
  <si>
    <t>E.&amp;.O.E</t>
  </si>
  <si>
    <t>Grand Total</t>
  </si>
  <si>
    <t>Invoice No.    :</t>
  </si>
  <si>
    <t>GST NO :00ABEEFF3232232</t>
  </si>
  <si>
    <t>CONTACT NUMBER</t>
  </si>
  <si>
    <t>GST NO</t>
  </si>
  <si>
    <t>S.No</t>
  </si>
  <si>
    <t>Ram Kumar</t>
  </si>
  <si>
    <t>Sam Kumar</t>
  </si>
  <si>
    <t>Rajesh  &amp; Company</t>
  </si>
  <si>
    <t>Fine Technologies  limited</t>
  </si>
  <si>
    <t>28SDFSFGS665D1</t>
  </si>
  <si>
    <t>28SDFSFGS665D2</t>
  </si>
  <si>
    <t>28SDFSFGS665D3</t>
  </si>
  <si>
    <t>28SDFSFGS665D4</t>
  </si>
  <si>
    <t>Address</t>
  </si>
  <si>
    <t>Ramakrishana road ,near State Bank of India,Fairlands,Salem</t>
  </si>
  <si>
    <t>Anna Park Bus stand,Opp To London Ortho Medi Care ,Salem</t>
  </si>
  <si>
    <t>25/32 Syed Kadhar Street ,Arisipalayam ,Salem</t>
  </si>
  <si>
    <t>Name</t>
  </si>
  <si>
    <t>Joes computer</t>
  </si>
  <si>
    <t>25SFDDSSDF256S</t>
  </si>
  <si>
    <t>Cherry Road Vincent Bus Stop</t>
  </si>
  <si>
    <t xml:space="preserve">Party’s GST No.: </t>
  </si>
  <si>
    <t xml:space="preserve">P. Order No. :   </t>
  </si>
  <si>
    <t>Invoice Date.:</t>
  </si>
  <si>
    <t>S.NO</t>
  </si>
  <si>
    <t xml:space="preserve">I/We hereby certify that my/our registration certificate under theIt is a long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t>
  </si>
  <si>
    <t>Mouse</t>
  </si>
  <si>
    <t>SNO</t>
  </si>
  <si>
    <t>PRODUCT</t>
  </si>
  <si>
    <t>HSNCODE</t>
  </si>
  <si>
    <t>8c/25 B Sankar Nagar ,Arisi Colony ,
Salem-636007</t>
  </si>
  <si>
    <t>Printer</t>
  </si>
  <si>
    <t>Pendrive</t>
  </si>
  <si>
    <t>Joystick</t>
  </si>
  <si>
    <t>Customer</t>
  </si>
  <si>
    <t>Date</t>
  </si>
  <si>
    <t>Invoice</t>
  </si>
  <si>
    <t>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</si>
</sst>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FF000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sz val="14"/>
      <color theme="1"/>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8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2" fillId="0" borderId="6" xfId="0" applyFont="1" applyBorder="1" applyAlignment="1">
      <alignment horizontal="center" vertical="center"/>
    </xf>
    <xf numFmtId="0" fontId="3" fillId="0" borderId="7" xfId="0" applyFont="1" applyBorder="1" applyAlignment="1" applyProtection="1">
      <alignment vertical="center"/>
      <protection locked="0"/>
    </xf>
    <xf numFmtId="0" fontId="2" fillId="0" borderId="8" xfId="0" quotePrefix="1" applyNumberFormat="1" applyFont="1" applyBorder="1" applyAlignment="1" applyProtection="1">
      <alignment horizontal="left" vertical="center"/>
      <protection locked="0"/>
    </xf>
    <xf numFmtId="14" fontId="2" fillId="0" borderId="7" xfId="0" applyNumberFormat="1" applyFont="1" applyBorder="1" applyAlignment="1">
      <alignment horizontal="left" vertical="center" indent="2"/>
    </xf>
    <xf numFmtId="0" fontId="1" fillId="0" borderId="0" xfId="0" applyFont="1" applyProtection="1">
      <protection locked="0"/>
    </xf>
    <xf numFmtId="0" fontId="0" fillId="0" borderId="0" xfId="0" applyAlignment="1">
      <alignment horizontal="center" vertical="center"/>
    </xf>
    <xf numFmtId="14" fontId="2" fillId="0" borderId="7" xfId="0" applyNumberFormat="1" applyFont="1" applyBorder="1" applyAlignment="1" applyProtection="1">
      <alignment horizontal="left" vertical="center" indent="2"/>
      <protection locked="0"/>
    </xf>
    <xf numFmtId="0" fontId="4" fillId="0" borderId="11" xfId="0" applyFont="1" applyBorder="1" applyAlignment="1">
      <alignment horizontal="center" vertical="center"/>
    </xf>
    <xf numFmtId="2" fontId="0" fillId="0" borderId="1" xfId="0" applyNumberFormat="1" applyBorder="1" applyAlignment="1" applyProtection="1">
      <alignment vertical="center"/>
      <protection locked="0"/>
    </xf>
    <xf numFmtId="2" fontId="0" fillId="0" borderId="0" xfId="0" applyNumberFormat="1"/>
    <xf numFmtId="2" fontId="0" fillId="0" borderId="4" xfId="0" applyNumberFormat="1" applyBorder="1" applyAlignment="1" applyProtection="1">
      <alignment vertical="center"/>
      <protection locked="0"/>
    </xf>
    <xf numFmtId="2" fontId="0" fillId="0" borderId="13" xfId="0" applyNumberFormat="1" applyBorder="1" applyAlignment="1" applyProtection="1">
      <alignment vertical="center"/>
    </xf>
    <xf numFmtId="0" fontId="0" fillId="0" borderId="14" xfId="0" applyBorder="1" applyAlignment="1" applyProtection="1">
      <alignment vertical="center"/>
      <protection locked="0"/>
    </xf>
    <xf numFmtId="2" fontId="0" fillId="0" borderId="11" xfId="0" applyNumberFormat="1" applyBorder="1" applyAlignment="1">
      <alignment horizontal="right" vertical="center"/>
    </xf>
    <xf numFmtId="0" fontId="2" fillId="0" borderId="1" xfId="0" applyFont="1" applyBorder="1" applyAlignment="1">
      <alignment vertical="center"/>
    </xf>
    <xf numFmtId="0" fontId="2" fillId="0" borderId="9" xfId="0" applyFont="1" applyBorder="1" applyAlignment="1">
      <alignment vertical="center"/>
    </xf>
    <xf numFmtId="2" fontId="0" fillId="0" borderId="11" xfId="0" applyNumberFormat="1" applyBorder="1" applyAlignment="1" applyProtection="1">
      <alignment horizontal="right" vertical="center"/>
      <protection locked="0"/>
    </xf>
    <xf numFmtId="0" fontId="2" fillId="0" borderId="7" xfId="0" applyFont="1" applyBorder="1" applyAlignment="1">
      <alignment horizontal="center" vertical="center"/>
    </xf>
    <xf numFmtId="0" fontId="0" fillId="0" borderId="9" xfId="0" applyBorder="1"/>
    <xf numFmtId="0" fontId="0" fillId="0" borderId="15" xfId="0" applyBorder="1"/>
    <xf numFmtId="0" fontId="0" fillId="0" borderId="10" xfId="0" applyBorder="1"/>
    <xf numFmtId="0" fontId="4" fillId="0" borderId="12" xfId="0" applyFont="1" applyBorder="1" applyAlignment="1">
      <alignment horizontal="center" vertical="center"/>
    </xf>
    <xf numFmtId="0" fontId="2" fillId="0" borderId="8" xfId="0" applyFont="1" applyBorder="1" applyAlignment="1" applyProtection="1">
      <alignment vertical="center"/>
      <protection locked="0"/>
    </xf>
    <xf numFmtId="14" fontId="2" fillId="0" borderId="8" xfId="0" applyNumberFormat="1" applyFont="1" applyBorder="1" applyAlignment="1">
      <alignment horizontal="left" vertical="center"/>
    </xf>
    <xf numFmtId="0" fontId="0" fillId="0" borderId="1" xfId="0" applyBorder="1" applyAlignment="1" applyProtection="1">
      <alignment vertical="center"/>
      <protection locked="0"/>
    </xf>
    <xf numFmtId="0" fontId="0" fillId="0" borderId="4" xfId="0" applyBorder="1" applyAlignment="1" applyProtection="1">
      <alignment vertical="center"/>
      <protection locked="0"/>
    </xf>
    <xf numFmtId="0" fontId="0" fillId="0" borderId="9" xfId="0" applyBorder="1" applyAlignment="1" applyProtection="1">
      <alignment vertical="center"/>
      <protection locked="0"/>
    </xf>
    <xf numFmtId="0" fontId="4" fillId="0" borderId="12" xfId="0" applyFont="1" applyBorder="1" applyAlignment="1">
      <alignment horizontal="center" vertical="center" wrapText="1"/>
    </xf>
    <xf numFmtId="2" fontId="0" fillId="0" borderId="9" xfId="0" applyNumberFormat="1" applyBorder="1" applyAlignment="1" applyProtection="1">
      <alignment vertical="center"/>
      <protection locked="0"/>
    </xf>
    <xf numFmtId="2" fontId="0" fillId="0" borderId="14" xfId="0" applyNumberFormat="1" applyBorder="1" applyAlignment="1" applyProtection="1">
      <alignment vertical="center"/>
    </xf>
    <xf numFmtId="0" fontId="4" fillId="0" borderId="1" xfId="0" applyFont="1" applyBorder="1" applyAlignment="1">
      <alignment horizontal="center" vertical="center"/>
    </xf>
    <xf numFmtId="0" fontId="6" fillId="0" borderId="0" xfId="0" applyFont="1" applyAlignment="1">
      <alignment horizontal="left"/>
    </xf>
    <xf numFmtId="0" fontId="0" fillId="0" borderId="12"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2" fillId="0" borderId="8" xfId="0" applyFont="1" applyBorder="1" applyAlignment="1">
      <alignment horizontal="left" vertical="center"/>
    </xf>
    <xf numFmtId="0" fontId="3" fillId="0" borderId="1" xfId="0" applyFont="1" applyBorder="1" applyAlignment="1">
      <alignment horizontal="left" vertical="top" wrapText="1" indent="2"/>
    </xf>
    <xf numFmtId="0" fontId="3" fillId="0" borderId="3" xfId="0" applyFont="1" applyBorder="1" applyAlignment="1">
      <alignment horizontal="left" vertical="top" wrapText="1" indent="2"/>
    </xf>
    <xf numFmtId="0" fontId="3" fillId="0" borderId="4" xfId="0" applyFont="1" applyBorder="1" applyAlignment="1">
      <alignment horizontal="left" vertical="top" wrapText="1" indent="2"/>
    </xf>
    <xf numFmtId="0" fontId="3" fillId="0" borderId="5" xfId="0" applyFont="1" applyBorder="1" applyAlignment="1">
      <alignment horizontal="left" vertical="top" wrapText="1" indent="2"/>
    </xf>
    <xf numFmtId="0" fontId="3" fillId="0" borderId="9" xfId="0" applyFont="1" applyBorder="1" applyAlignment="1">
      <alignment horizontal="left" vertical="top" wrapText="1" indent="2"/>
    </xf>
    <xf numFmtId="0" fontId="3" fillId="0" borderId="10" xfId="0" applyFont="1" applyBorder="1" applyAlignment="1">
      <alignment horizontal="left" vertical="top" wrapText="1" indent="2"/>
    </xf>
    <xf numFmtId="0" fontId="2" fillId="0" borderId="6" xfId="0" applyFont="1" applyBorder="1" applyAlignment="1">
      <alignment horizontal="left" vertical="center"/>
    </xf>
    <xf numFmtId="0" fontId="0" fillId="0" borderId="8" xfId="0" applyFont="1" applyBorder="1" applyAlignment="1">
      <alignment horizontal="left" vertical="center"/>
    </xf>
    <xf numFmtId="0" fontId="0" fillId="0" borderId="7" xfId="0" applyFont="1" applyBorder="1" applyAlignment="1">
      <alignment horizontal="left" vertical="center"/>
    </xf>
    <xf numFmtId="0" fontId="2" fillId="0" borderId="6"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5" fillId="0" borderId="4" xfId="0" applyFont="1" applyBorder="1" applyAlignment="1">
      <alignment horizontal="left" vertical="center" wrapText="1" indent="1"/>
    </xf>
    <xf numFmtId="0" fontId="5" fillId="0" borderId="0" xfId="0" applyFont="1" applyBorder="1" applyAlignment="1">
      <alignment horizontal="left" vertical="center" indent="1"/>
    </xf>
    <xf numFmtId="0" fontId="5" fillId="0" borderId="5" xfId="0" applyFont="1" applyBorder="1" applyAlignment="1">
      <alignment horizontal="left" vertical="center" indent="1"/>
    </xf>
    <xf numFmtId="0" fontId="5" fillId="0" borderId="4" xfId="0" applyFont="1" applyBorder="1" applyAlignment="1">
      <alignment horizontal="left" vertical="center" indent="1"/>
    </xf>
    <xf numFmtId="0" fontId="5" fillId="0" borderId="9" xfId="0" applyFont="1" applyBorder="1" applyAlignment="1">
      <alignment horizontal="left" vertical="center" indent="1"/>
    </xf>
    <xf numFmtId="0" fontId="5" fillId="0" borderId="15" xfId="0" applyFont="1" applyBorder="1" applyAlignment="1">
      <alignment horizontal="left" vertical="center" indent="1"/>
    </xf>
    <xf numFmtId="0" fontId="5" fillId="0" borderId="10" xfId="0" applyFont="1" applyBorder="1" applyAlignment="1">
      <alignment horizontal="left" vertical="center" indent="1"/>
    </xf>
    <xf numFmtId="0" fontId="2" fillId="0" borderId="6" xfId="0" applyFont="1" applyBorder="1" applyAlignment="1">
      <alignment horizontal="right" vertical="center" indent="1"/>
    </xf>
    <xf numFmtId="0" fontId="2" fillId="0" borderId="10" xfId="0" applyFont="1" applyBorder="1" applyAlignment="1">
      <alignment horizontal="right" vertical="center" indent="1"/>
    </xf>
    <xf numFmtId="0" fontId="2" fillId="0" borderId="1" xfId="0" applyFont="1" applyBorder="1" applyAlignment="1">
      <alignment horizontal="right" vertical="center" indent="1"/>
    </xf>
    <xf numFmtId="0" fontId="2" fillId="0" borderId="3" xfId="0" applyFont="1" applyBorder="1" applyAlignment="1">
      <alignment horizontal="right" vertical="center" indent="1"/>
    </xf>
    <xf numFmtId="0" fontId="2" fillId="0" borderId="2" xfId="0" applyFont="1" applyBorder="1" applyAlignment="1">
      <alignment horizontal="left" vertical="center" wrapText="1" indent="5"/>
    </xf>
    <xf numFmtId="0" fontId="2" fillId="0" borderId="3" xfId="0" applyFont="1" applyBorder="1" applyAlignment="1">
      <alignment horizontal="left" vertical="center" wrapText="1" indent="5"/>
    </xf>
    <xf numFmtId="0" fontId="2" fillId="0" borderId="15" xfId="0" applyFont="1" applyBorder="1" applyAlignment="1">
      <alignment horizontal="left" vertical="center" wrapText="1" indent="5"/>
    </xf>
    <xf numFmtId="0" fontId="2" fillId="0" borderId="10" xfId="0" applyFont="1" applyBorder="1" applyAlignment="1">
      <alignment horizontal="left" vertical="center" wrapText="1" indent="5"/>
    </xf>
    <xf numFmtId="0" fontId="2" fillId="0" borderId="6" xfId="0" applyFont="1" applyBorder="1" applyAlignment="1">
      <alignment horizontal="center" vertical="center"/>
    </xf>
    <xf numFmtId="0" fontId="2" fillId="0" borderId="8" xfId="0" applyFont="1" applyBorder="1" applyAlignment="1">
      <alignment horizontal="center" vertical="center"/>
    </xf>
    <xf numFmtId="0" fontId="2" fillId="0" borderId="7" xfId="0" applyFont="1" applyBorder="1" applyAlignment="1">
      <alignment horizontal="right" vertical="center" indent="1"/>
    </xf>
    <xf numFmtId="0" fontId="2" fillId="0" borderId="0" xfId="0" applyFont="1" applyAlignment="1">
      <alignment horizontal="left"/>
    </xf>
    <xf numFmtId="14" fontId="2" fillId="0" borderId="0" xfId="0" applyNumberFormat="1"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0" xfId="0" applyFont="1" applyAlignment="1">
      <alignment horizontal="left"/>
    </xf>
    <xf numFmtId="14" fontId="0" fillId="0" borderId="0" xfId="0" applyNumberFormat="1" applyFont="1" applyAlignment="1">
      <alignment horizontal="left"/>
    </xf>
    <xf numFmtId="0" fontId="0" fillId="0" borderId="0" xfId="0" applyNumberFormat="1" applyAlignment="1">
      <alignment horizontal="left"/>
    </xf>
    <xf numFmtId="22" fontId="0" fillId="0" borderId="0" xfId="0" applyNumberFormat="1" applyAlignment="1">
      <alignment horizontal="left"/>
    </xf>
  </cellXfs>
  <cellStyles count="1">
    <cellStyle name="Normal" xfId="0" builtinId="0"/>
  </cellStyles>
  <dxfs count="13">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32</xdr:row>
      <xdr:rowOff>227135</xdr:rowOff>
    </xdr:from>
    <xdr:to>
      <xdr:col>1</xdr:col>
      <xdr:colOff>740019</xdr:colOff>
      <xdr:row>34</xdr:row>
      <xdr:rowOff>29307</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0" y="7999535"/>
          <a:ext cx="1406769" cy="29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Rupees in word :</a:t>
          </a:r>
        </a:p>
      </xdr:txBody>
    </xdr:sp>
    <xdr:clientData/>
  </xdr:twoCellAnchor>
  <xdr:twoCellAnchor editAs="oneCell">
    <xdr:from>
      <xdr:col>0</xdr:col>
      <xdr:colOff>123826</xdr:colOff>
      <xdr:row>0</xdr:row>
      <xdr:rowOff>85725</xdr:rowOff>
    </xdr:from>
    <xdr:to>
      <xdr:col>5</xdr:col>
      <xdr:colOff>904875</xdr:colOff>
      <xdr:row>6</xdr:row>
      <xdr:rowOff>140277</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6" y="85725"/>
          <a:ext cx="7077074" cy="1197552"/>
        </a:xfrm>
        <a:prstGeom prst="rect">
          <a:avLst/>
        </a:prstGeom>
      </xdr:spPr>
    </xdr:pic>
    <xdr:clientData/>
  </xdr:twoCellAnchor>
  <xdr:twoCellAnchor editAs="oneCell">
    <xdr:from>
      <xdr:col>0</xdr:col>
      <xdr:colOff>133350</xdr:colOff>
      <xdr:row>36</xdr:row>
      <xdr:rowOff>57150</xdr:rowOff>
    </xdr:from>
    <xdr:to>
      <xdr:col>5</xdr:col>
      <xdr:colOff>885826</xdr:colOff>
      <xdr:row>39</xdr:row>
      <xdr:rowOff>157588</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30" t="1487" r="-430" b="12283"/>
        <a:stretch/>
      </xdr:blipFill>
      <xdr:spPr>
        <a:xfrm>
          <a:off x="133350" y="8734425"/>
          <a:ext cx="7048501" cy="8433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0</xdr:colOff>
          <xdr:row>9</xdr:row>
          <xdr:rowOff>238125</xdr:rowOff>
        </xdr:from>
        <xdr:to>
          <xdr:col>11</xdr:col>
          <xdr:colOff>171450</xdr:colOff>
          <xdr:row>11</xdr:row>
          <xdr:rowOff>266700</xdr:rowOff>
        </xdr:to>
        <xdr:sp macro="" textlink="">
          <xdr:nvSpPr>
            <xdr:cNvPr id="1029" name="CommandButton1"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06E297-8A97-45F0-BC60-B8137A14DB5B}" name="Table1" displayName="Table1" ref="A1:E6" totalsRowShown="0" headerRowDxfId="12" dataDxfId="11">
  <autoFilter ref="A1:E6" xr:uid="{091C8B0E-8604-4261-8E68-03E1619DB53D}"/>
  <tableColumns count="5">
    <tableColumn id="1" xr3:uid="{E829CA3D-D016-479C-A5AB-2EF7AE3E4602}" name="S.No" dataDxfId="10"/>
    <tableColumn id="2" xr3:uid="{56491C05-916B-4E2A-9CDF-674F2E7216D0}" name="Name" dataDxfId="9"/>
    <tableColumn id="3" xr3:uid="{9D3D61EE-3446-457B-9003-A48720CCBDDD}" name="Address" dataDxfId="8"/>
    <tableColumn id="4" xr3:uid="{D4A9510F-A83C-463A-ABFF-18EEB283B162}" name="CONTACT NUMBER" dataDxfId="7"/>
    <tableColumn id="5" xr3:uid="{4173B541-1EBA-495A-A673-BB297F8F0C62}" name="GST NO"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9F6C06-C346-4E1A-915E-7B1D80CF7505}" name="Table2" displayName="Table2" ref="A1:D5" totalsRowShown="0" headerRowDxfId="5" dataDxfId="4">
  <autoFilter ref="A1:D5" xr:uid="{CFEDCFC5-2653-4F87-816F-685340B1D027}"/>
  <tableColumns count="4">
    <tableColumn id="1" xr3:uid="{E0C5B7A1-7A33-4202-8BED-973B855A14CB}" name="SNO" dataDxfId="3"/>
    <tableColumn id="2" xr3:uid="{9A521A4C-63D5-4563-8F4C-6F6660387606}" name="PRODUCT" dataDxfId="2"/>
    <tableColumn id="3" xr3:uid="{E7767EBE-BDC6-416D-BDB2-637116807628}" name="HSNCODE" dataDxfId="1"/>
    <tableColumn id="4" xr3:uid="{106C8DF2-4F69-47C6-9876-13C60A87B3F3}" name="R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4D97-BEDE-4985-9EBA-A074D56FE7D9}">
  <sheetPr codeName="Sheet1"/>
  <dimension ref="A1:H41"/>
  <sheetViews>
    <sheetView view="pageLayout" zoomScaleNormal="100" workbookViewId="0">
      <selection activeCell="D14" sqref="D14"/>
    </sheetView>
  </sheetViews>
  <sheetFormatPr defaultRowHeight="15" x14ac:dyDescent="0.25"/>
  <cols>
    <col min="1" max="1" width="10" customWidth="1"/>
    <col min="2" max="2" width="44.7109375" customWidth="1"/>
    <col min="3" max="3" width="11.140625" customWidth="1"/>
    <col min="4" max="4" width="10" customWidth="1"/>
    <col min="5" max="5" width="13" customWidth="1"/>
    <col min="6" max="6" width="14.85546875" customWidth="1"/>
    <col min="7" max="7" width="9.140625" hidden="1" customWidth="1"/>
    <col min="8" max="9" width="13.140625" customWidth="1"/>
  </cols>
  <sheetData>
    <row r="1" spans="1:8" x14ac:dyDescent="0.25">
      <c r="A1" s="1"/>
      <c r="B1" s="2"/>
      <c r="C1" s="2"/>
      <c r="D1" s="2"/>
      <c r="E1" s="2"/>
      <c r="F1" s="3"/>
    </row>
    <row r="2" spans="1:8" x14ac:dyDescent="0.25">
      <c r="A2" s="4"/>
      <c r="B2" s="5"/>
      <c r="C2" s="5"/>
      <c r="D2" s="5"/>
      <c r="E2" s="5"/>
      <c r="F2" s="6"/>
    </row>
    <row r="3" spans="1:8" x14ac:dyDescent="0.25">
      <c r="A3" s="4"/>
      <c r="B3" s="5"/>
      <c r="C3" s="5"/>
      <c r="D3" s="5"/>
      <c r="E3" s="5"/>
      <c r="F3" s="6"/>
    </row>
    <row r="4" spans="1:8" x14ac:dyDescent="0.25">
      <c r="A4" s="4"/>
      <c r="B4" s="5"/>
      <c r="C4" s="5"/>
      <c r="D4" s="5"/>
      <c r="E4" s="5"/>
      <c r="F4" s="6"/>
    </row>
    <row r="5" spans="1:8" x14ac:dyDescent="0.25">
      <c r="A5" s="4"/>
      <c r="B5" s="5"/>
      <c r="C5" s="5"/>
      <c r="D5" s="5"/>
      <c r="E5" s="5"/>
      <c r="F5" s="6"/>
    </row>
    <row r="6" spans="1:8" x14ac:dyDescent="0.25">
      <c r="A6" s="4"/>
      <c r="B6" s="5"/>
      <c r="C6" s="5"/>
      <c r="D6" s="5"/>
      <c r="E6" s="5"/>
      <c r="F6" s="6"/>
    </row>
    <row r="7" spans="1:8" x14ac:dyDescent="0.25">
      <c r="A7" s="4"/>
      <c r="B7" s="5"/>
      <c r="C7" s="5"/>
      <c r="D7" s="5"/>
      <c r="E7" s="5"/>
      <c r="F7" s="6"/>
    </row>
    <row r="8" spans="1:8" ht="15.75" x14ac:dyDescent="0.25">
      <c r="A8" s="7" t="s">
        <v>0</v>
      </c>
      <c r="B8" s="8"/>
      <c r="C8" s="43" t="s">
        <v>12</v>
      </c>
      <c r="D8" s="43"/>
      <c r="E8" s="9">
        <v>1009</v>
      </c>
      <c r="F8" s="10"/>
      <c r="G8" s="11" t="e">
        <f>LEFT(E8,FIND("/",E8,1)-1)</f>
        <v>#VALUE!</v>
      </c>
      <c r="H8" s="12"/>
    </row>
    <row r="9" spans="1:8" ht="21" customHeight="1" x14ac:dyDescent="0.25">
      <c r="A9" s="44" t="str">
        <f>IFERROR(INDEX(Table1[],MATCH(B8,CUSTOMER,0),3),"")</f>
        <v/>
      </c>
      <c r="B9" s="45"/>
      <c r="C9" s="50" t="s">
        <v>35</v>
      </c>
      <c r="D9" s="43"/>
      <c r="E9" s="30">
        <f ca="1">NOW()</f>
        <v>43753.676449999999</v>
      </c>
      <c r="F9" s="10"/>
    </row>
    <row r="10" spans="1:8" ht="21" customHeight="1" x14ac:dyDescent="0.25">
      <c r="A10" s="46"/>
      <c r="B10" s="47"/>
      <c r="C10" s="53" t="s">
        <v>34</v>
      </c>
      <c r="D10" s="54"/>
      <c r="E10" s="29"/>
      <c r="F10" s="13"/>
    </row>
    <row r="11" spans="1:8" ht="21" customHeight="1" x14ac:dyDescent="0.25">
      <c r="A11" s="48"/>
      <c r="B11" s="49"/>
      <c r="C11" s="50" t="s">
        <v>33</v>
      </c>
      <c r="D11" s="43"/>
      <c r="E11" s="51" t="str">
        <f>IFERROR(INDEX(Table1[],MATCH(B8,CUSTOMER,0),5),"")</f>
        <v/>
      </c>
      <c r="F11" s="52"/>
    </row>
    <row r="12" spans="1:8" s="12" customFormat="1" ht="31.5" x14ac:dyDescent="0.25">
      <c r="A12" s="28" t="s">
        <v>36</v>
      </c>
      <c r="B12" s="28" t="s">
        <v>1</v>
      </c>
      <c r="C12" s="34" t="s">
        <v>2</v>
      </c>
      <c r="D12" s="14" t="s">
        <v>49</v>
      </c>
      <c r="E12" s="37" t="s">
        <v>3</v>
      </c>
      <c r="F12" s="14" t="s">
        <v>4</v>
      </c>
    </row>
    <row r="13" spans="1:8" ht="19.5" customHeight="1" x14ac:dyDescent="0.25">
      <c r="A13" s="31" t="str">
        <f>IF(AND(B12&lt;&gt;"",B13&lt;&gt;""),ROW(B12)-11,"")</f>
        <v/>
      </c>
      <c r="B13" s="31"/>
      <c r="C13" s="39" t="str">
        <f>IFERROR(INDEX(Table2[],MATCH(B13,Table2[PRODUCT],0),3),"")</f>
        <v/>
      </c>
      <c r="D13" s="40"/>
      <c r="E13" s="15" t="str">
        <f>IFERROR(INDEX(Table2[],MATCH(B13,Table2[PRODUCT],0),4),"")</f>
        <v/>
      </c>
      <c r="F13" s="18" t="str">
        <f>IFERROR(IF(D13*E13=0,"",D13*E13),"")</f>
        <v/>
      </c>
      <c r="H13" s="16"/>
    </row>
    <row r="14" spans="1:8" ht="19.5" customHeight="1" x14ac:dyDescent="0.25">
      <c r="A14" s="32" t="str">
        <f t="shared" ref="A14:A29" si="0">IF(AND(B13&lt;&gt;"",B14&lt;&gt;""),ROW(B13)-11,"")</f>
        <v/>
      </c>
      <c r="B14" s="32"/>
      <c r="C14" s="41" t="str">
        <f>IFERROR(INDEX(Table2[],MATCH(B14,Table2[PRODUCT],0),3),"")</f>
        <v/>
      </c>
      <c r="D14" s="40"/>
      <c r="E14" s="17" t="str">
        <f>IFERROR(INDEX(Table2[],MATCH(B14,Table2[PRODUCT],0),4),"")</f>
        <v/>
      </c>
      <c r="F14" s="18" t="str">
        <f t="shared" ref="F14:F29" si="1">IFERROR(IF(D14*E14=0,"",D14*E14),"")</f>
        <v/>
      </c>
      <c r="H14" s="16"/>
    </row>
    <row r="15" spans="1:8" ht="19.5" customHeight="1" x14ac:dyDescent="0.25">
      <c r="A15" s="32" t="str">
        <f t="shared" si="0"/>
        <v/>
      </c>
      <c r="B15" s="32"/>
      <c r="C15" s="41" t="str">
        <f>IFERROR(INDEX(Table2[],MATCH(B15,Table2[PRODUCT],0),3),"")</f>
        <v/>
      </c>
      <c r="D15" s="40"/>
      <c r="E15" s="17" t="str">
        <f>IFERROR(INDEX(Table2[],MATCH(B15,Table2[PRODUCT],0),4),"")</f>
        <v/>
      </c>
      <c r="F15" s="18" t="str">
        <f t="shared" si="1"/>
        <v/>
      </c>
    </row>
    <row r="16" spans="1:8" ht="19.5" customHeight="1" x14ac:dyDescent="0.25">
      <c r="A16" s="32" t="str">
        <f t="shared" si="0"/>
        <v/>
      </c>
      <c r="B16" s="32"/>
      <c r="C16" s="41" t="str">
        <f>IFERROR(INDEX(Table2[],MATCH(B16,Table2[PRODUCT],0),3),"")</f>
        <v/>
      </c>
      <c r="D16" s="40"/>
      <c r="E16" s="17" t="str">
        <f>IFERROR(INDEX(Table2[],MATCH(B16,Table2[PRODUCT],0),4),"")</f>
        <v/>
      </c>
      <c r="F16" s="18" t="str">
        <f t="shared" si="1"/>
        <v/>
      </c>
    </row>
    <row r="17" spans="1:7" ht="19.5" customHeight="1" x14ac:dyDescent="0.25">
      <c r="A17" s="32" t="str">
        <f t="shared" si="0"/>
        <v/>
      </c>
      <c r="B17" s="32"/>
      <c r="C17" s="41" t="str">
        <f>IFERROR(INDEX(Table2[],MATCH(B17,Table2[PRODUCT],0),3),"")</f>
        <v/>
      </c>
      <c r="D17" s="40"/>
      <c r="E17" s="17" t="str">
        <f>IFERROR(INDEX(Table2[],MATCH(B17,Table2[PRODUCT],0),4),"")</f>
        <v/>
      </c>
      <c r="F17" s="18" t="str">
        <f t="shared" si="1"/>
        <v/>
      </c>
    </row>
    <row r="18" spans="1:7" ht="19.5" customHeight="1" x14ac:dyDescent="0.25">
      <c r="A18" s="32" t="str">
        <f t="shared" si="0"/>
        <v/>
      </c>
      <c r="B18" s="32"/>
      <c r="C18" s="41" t="str">
        <f>IFERROR(INDEX(Table2[],MATCH(B18,Table2[PRODUCT],0),3),"")</f>
        <v/>
      </c>
      <c r="D18" s="40"/>
      <c r="E18" s="17" t="str">
        <f>IFERROR(INDEX(Table2[],MATCH(B18,Table2[PRODUCT],0),4),"")</f>
        <v/>
      </c>
      <c r="F18" s="18" t="str">
        <f t="shared" si="1"/>
        <v/>
      </c>
    </row>
    <row r="19" spans="1:7" ht="19.5" customHeight="1" x14ac:dyDescent="0.25">
      <c r="A19" s="32" t="str">
        <f t="shared" si="0"/>
        <v/>
      </c>
      <c r="B19" s="32"/>
      <c r="C19" s="41" t="str">
        <f>IFERROR(INDEX(Table2[],MATCH(B19,Table2[PRODUCT],0),3),"")</f>
        <v/>
      </c>
      <c r="D19" s="40"/>
      <c r="E19" s="17" t="str">
        <f>IFERROR(INDEX(Table2[],MATCH(B19,Table2[PRODUCT],0),4),"")</f>
        <v/>
      </c>
      <c r="F19" s="18" t="str">
        <f t="shared" si="1"/>
        <v/>
      </c>
    </row>
    <row r="20" spans="1:7" ht="19.5" customHeight="1" x14ac:dyDescent="0.25">
      <c r="A20" s="32" t="str">
        <f t="shared" si="0"/>
        <v/>
      </c>
      <c r="B20" s="32"/>
      <c r="C20" s="41" t="str">
        <f>IFERROR(INDEX(Table2[],MATCH(B20,Table2[PRODUCT],0),3),"")</f>
        <v/>
      </c>
      <c r="D20" s="40"/>
      <c r="E20" s="17" t="str">
        <f>IFERROR(INDEX(Table2[],MATCH(B20,Table2[PRODUCT],0),4),"")</f>
        <v/>
      </c>
      <c r="F20" s="18" t="str">
        <f t="shared" si="1"/>
        <v/>
      </c>
    </row>
    <row r="21" spans="1:7" ht="19.5" customHeight="1" x14ac:dyDescent="0.25">
      <c r="A21" s="32" t="str">
        <f t="shared" si="0"/>
        <v/>
      </c>
      <c r="B21" s="32"/>
      <c r="C21" s="41" t="str">
        <f>IFERROR(INDEX(Table2[],MATCH(B21,Table2[PRODUCT],0),3),"")</f>
        <v/>
      </c>
      <c r="D21" s="40"/>
      <c r="E21" s="17" t="str">
        <f>IFERROR(INDEX(Table2[],MATCH(B21,Table2[PRODUCT],0),4),"")</f>
        <v/>
      </c>
      <c r="F21" s="18" t="str">
        <f t="shared" si="1"/>
        <v/>
      </c>
    </row>
    <row r="22" spans="1:7" ht="19.5" customHeight="1" x14ac:dyDescent="0.25">
      <c r="A22" s="32" t="str">
        <f t="shared" si="0"/>
        <v/>
      </c>
      <c r="B22" s="32"/>
      <c r="C22" s="41" t="str">
        <f>IFERROR(INDEX(Table2[],MATCH(B22,Table2[PRODUCT],0),3),"")</f>
        <v/>
      </c>
      <c r="D22" s="40"/>
      <c r="E22" s="17" t="str">
        <f>IFERROR(INDEX(Table2[],MATCH(B22,Table2[PRODUCT],0),4),"")</f>
        <v/>
      </c>
      <c r="F22" s="18" t="str">
        <f t="shared" si="1"/>
        <v/>
      </c>
    </row>
    <row r="23" spans="1:7" ht="19.5" customHeight="1" x14ac:dyDescent="0.25">
      <c r="A23" s="32" t="str">
        <f t="shared" si="0"/>
        <v/>
      </c>
      <c r="B23" s="32"/>
      <c r="C23" s="41" t="str">
        <f>IFERROR(INDEX(Table2[],MATCH(B23,Table2[PRODUCT],0),3),"")</f>
        <v/>
      </c>
      <c r="D23" s="40"/>
      <c r="E23" s="17" t="str">
        <f>IFERROR(INDEX(Table2[],MATCH(B23,Table2[PRODUCT],0),4),"")</f>
        <v/>
      </c>
      <c r="F23" s="18" t="str">
        <f t="shared" si="1"/>
        <v/>
      </c>
    </row>
    <row r="24" spans="1:7" ht="19.5" customHeight="1" x14ac:dyDescent="0.25">
      <c r="A24" s="32" t="str">
        <f>IF(AND(B23&lt;&gt;"",B24&lt;&gt;""),ROW(B23)-11,"")</f>
        <v/>
      </c>
      <c r="B24" s="32"/>
      <c r="C24" s="41" t="str">
        <f>IFERROR(INDEX(Table2[],MATCH(B24,Table2[PRODUCT],0),3),"")</f>
        <v/>
      </c>
      <c r="D24" s="40"/>
      <c r="E24" s="17" t="str">
        <f>IFERROR(INDEX(Table2[],MATCH(B24,Table2[PRODUCT],0),4),"")</f>
        <v/>
      </c>
      <c r="F24" s="18" t="str">
        <f t="shared" si="1"/>
        <v/>
      </c>
    </row>
    <row r="25" spans="1:7" ht="19.5" customHeight="1" x14ac:dyDescent="0.25">
      <c r="A25" s="32" t="str">
        <f t="shared" si="0"/>
        <v/>
      </c>
      <c r="B25" s="32"/>
      <c r="C25" s="41" t="str">
        <f>IFERROR(INDEX(Table2[],MATCH(B25,Table2[PRODUCT],0),3),"")</f>
        <v/>
      </c>
      <c r="D25" s="40"/>
      <c r="E25" s="17" t="str">
        <f>IFERROR(INDEX(Table2[],MATCH(B25,Table2[PRODUCT],0),4),"")</f>
        <v/>
      </c>
      <c r="F25" s="18" t="str">
        <f t="shared" si="1"/>
        <v/>
      </c>
    </row>
    <row r="26" spans="1:7" ht="19.5" customHeight="1" x14ac:dyDescent="0.25">
      <c r="A26" s="32" t="str">
        <f t="shared" si="0"/>
        <v/>
      </c>
      <c r="B26" s="32"/>
      <c r="C26" s="41" t="str">
        <f>IFERROR(INDEX(Table2[],MATCH(B26,Table2[PRODUCT],0),3),"")</f>
        <v/>
      </c>
      <c r="D26" s="40"/>
      <c r="E26" s="17" t="str">
        <f>IFERROR(INDEX(Table2[],MATCH(B26,Table2[PRODUCT],0),4),"")</f>
        <v/>
      </c>
      <c r="F26" s="18" t="str">
        <f t="shared" si="1"/>
        <v/>
      </c>
    </row>
    <row r="27" spans="1:7" ht="19.5" customHeight="1" x14ac:dyDescent="0.25">
      <c r="A27" s="32" t="str">
        <f t="shared" si="0"/>
        <v/>
      </c>
      <c r="B27" s="32"/>
      <c r="C27" s="41" t="str">
        <f>IFERROR(INDEX(Table2[],MATCH(B27,Table2[PRODUCT],0),3),"")</f>
        <v/>
      </c>
      <c r="D27" s="40"/>
      <c r="E27" s="17" t="str">
        <f>IFERROR(INDEX(Table2[],MATCH(B27,Table2[PRODUCT],0),4),"")</f>
        <v/>
      </c>
      <c r="F27" s="18" t="str">
        <f t="shared" si="1"/>
        <v/>
      </c>
    </row>
    <row r="28" spans="1:7" ht="19.5" customHeight="1" x14ac:dyDescent="0.25">
      <c r="A28" s="32" t="str">
        <f t="shared" si="0"/>
        <v/>
      </c>
      <c r="B28" s="32"/>
      <c r="C28" s="41" t="str">
        <f>IFERROR(INDEX(Table2[],MATCH(B28,Table2[PRODUCT],0),3),"")</f>
        <v/>
      </c>
      <c r="D28" s="40"/>
      <c r="E28" s="17" t="str">
        <f>IFERROR(INDEX(Table2[],MATCH(B28,Table2[PRODUCT],0),4),"")</f>
        <v/>
      </c>
      <c r="F28" s="18" t="str">
        <f t="shared" si="1"/>
        <v/>
      </c>
    </row>
    <row r="29" spans="1:7" ht="19.5" customHeight="1" x14ac:dyDescent="0.25">
      <c r="A29" s="33" t="str">
        <f t="shared" si="0"/>
        <v/>
      </c>
      <c r="B29" s="33"/>
      <c r="C29" s="42" t="str">
        <f>IFERROR(INDEX(Table2[],MATCH(B29,Table2[PRODUCT],0),3),"")</f>
        <v/>
      </c>
      <c r="D29" s="40"/>
      <c r="E29" s="35" t="str">
        <f>IFERROR(INDEX(Table2[],MATCH(B29,Table2[PRODUCT],0),4),"")</f>
        <v/>
      </c>
      <c r="F29" s="36" t="str">
        <f t="shared" si="1"/>
        <v/>
      </c>
    </row>
    <row r="30" spans="1:7" ht="19.5" customHeight="1" x14ac:dyDescent="0.25">
      <c r="A30" s="55" t="s">
        <v>37</v>
      </c>
      <c r="B30" s="56"/>
      <c r="C30" s="57"/>
      <c r="D30" s="62" t="s">
        <v>5</v>
      </c>
      <c r="E30" s="63"/>
      <c r="F30" s="19"/>
    </row>
    <row r="31" spans="1:7" ht="19.5" customHeight="1" x14ac:dyDescent="0.25">
      <c r="A31" s="58"/>
      <c r="B31" s="56"/>
      <c r="C31" s="57"/>
      <c r="D31" s="64" t="s">
        <v>6</v>
      </c>
      <c r="E31" s="65"/>
      <c r="F31" s="20">
        <f>IF(F29="",SUM(F13:F28)+F30,(SUM(F13:F28)-F29)+F30)</f>
        <v>0</v>
      </c>
      <c r="G31" s="16"/>
    </row>
    <row r="32" spans="1:7" ht="19.5" customHeight="1" x14ac:dyDescent="0.25">
      <c r="A32" s="58"/>
      <c r="B32" s="56"/>
      <c r="C32" s="57"/>
      <c r="D32" s="64" t="s">
        <v>7</v>
      </c>
      <c r="E32" s="65"/>
      <c r="F32" s="20">
        <f>F31*9%</f>
        <v>0</v>
      </c>
      <c r="G32" s="16"/>
    </row>
    <row r="33" spans="1:8" ht="19.5" customHeight="1" x14ac:dyDescent="0.25">
      <c r="A33" s="59"/>
      <c r="B33" s="60"/>
      <c r="C33" s="61"/>
      <c r="D33" s="64" t="s">
        <v>8</v>
      </c>
      <c r="E33" s="65"/>
      <c r="F33" s="20">
        <f>F32*9%</f>
        <v>0</v>
      </c>
      <c r="G33" s="16"/>
    </row>
    <row r="34" spans="1:8" ht="19.5" customHeight="1" x14ac:dyDescent="0.25">
      <c r="A34" s="21"/>
      <c r="B34" s="66" t="str">
        <f>IF(rupee(F36)=0,"",rupee(F36))</f>
        <v/>
      </c>
      <c r="C34" s="67"/>
      <c r="D34" s="64"/>
      <c r="E34" s="65"/>
      <c r="F34" s="20"/>
      <c r="G34" s="16"/>
    </row>
    <row r="35" spans="1:8" ht="19.5" customHeight="1" x14ac:dyDescent="0.25">
      <c r="A35" s="22"/>
      <c r="B35" s="68"/>
      <c r="C35" s="69"/>
      <c r="D35" s="64" t="s">
        <v>9</v>
      </c>
      <c r="E35" s="65"/>
      <c r="F35" s="23"/>
      <c r="G35" s="16"/>
      <c r="H35" s="16"/>
    </row>
    <row r="36" spans="1:8" ht="19.5" customHeight="1" x14ac:dyDescent="0.25">
      <c r="A36" s="70" t="s">
        <v>13</v>
      </c>
      <c r="B36" s="71"/>
      <c r="C36" s="24" t="s">
        <v>10</v>
      </c>
      <c r="D36" s="62" t="s">
        <v>11</v>
      </c>
      <c r="E36" s="72"/>
      <c r="F36" s="20">
        <f>ROUND(SUM(F31:F35),0)</f>
        <v>0</v>
      </c>
      <c r="G36" s="16"/>
      <c r="H36" s="16"/>
    </row>
    <row r="37" spans="1:8" ht="19.5" customHeight="1" x14ac:dyDescent="0.25">
      <c r="A37" s="1"/>
      <c r="B37" s="2"/>
      <c r="C37" s="2"/>
      <c r="D37" s="2"/>
      <c r="E37" s="2"/>
      <c r="F37" s="3"/>
    </row>
    <row r="38" spans="1:8" ht="19.5" customHeight="1" x14ac:dyDescent="0.25">
      <c r="A38" s="4"/>
      <c r="B38" s="5"/>
      <c r="C38" s="5"/>
      <c r="D38" s="5"/>
      <c r="E38" s="5"/>
      <c r="F38" s="6"/>
    </row>
    <row r="39" spans="1:8" ht="19.5" customHeight="1" x14ac:dyDescent="0.25">
      <c r="A39" s="4"/>
      <c r="B39" s="5"/>
      <c r="C39" s="5"/>
      <c r="D39" s="5"/>
      <c r="E39" s="5"/>
      <c r="F39" s="6"/>
    </row>
    <row r="40" spans="1:8" ht="19.5" customHeight="1" x14ac:dyDescent="0.25">
      <c r="A40" s="25"/>
      <c r="B40" s="26"/>
      <c r="C40" s="26"/>
      <c r="D40" s="26"/>
      <c r="E40" s="26"/>
      <c r="F40" s="27"/>
    </row>
    <row r="41" spans="1:8" ht="19.5" customHeight="1" x14ac:dyDescent="0.25"/>
  </sheetData>
  <mergeCells count="16">
    <mergeCell ref="B34:C35"/>
    <mergeCell ref="D34:E34"/>
    <mergeCell ref="D35:E35"/>
    <mergeCell ref="A36:B36"/>
    <mergeCell ref="D36:E36"/>
    <mergeCell ref="A30:C33"/>
    <mergeCell ref="D30:E30"/>
    <mergeCell ref="D31:E31"/>
    <mergeCell ref="D32:E32"/>
    <mergeCell ref="D33:E33"/>
    <mergeCell ref="C8:D8"/>
    <mergeCell ref="A9:B11"/>
    <mergeCell ref="C9:D9"/>
    <mergeCell ref="C11:D11"/>
    <mergeCell ref="E11:F11"/>
    <mergeCell ref="C10:D10"/>
  </mergeCells>
  <dataValidations count="2">
    <dataValidation type="list" allowBlank="1" showInputMessage="1" showErrorMessage="1" sqref="B8" xr:uid="{DFFB6483-F6A5-4DB1-B8A1-C41A6F5809FB}">
      <formula1>CUSTOMER</formula1>
    </dataValidation>
    <dataValidation type="list" allowBlank="1" showInputMessage="1" showErrorMessage="1" sqref="B13:B29" xr:uid="{5EEBEA6B-E243-45C1-9DE3-3EADF23CAE50}">
      <formula1>PRODUCTS</formula1>
    </dataValidation>
  </dataValidations>
  <pageMargins left="0.17" right="0.17" top="0.21" bottom="0.3" header="0.22" footer="0.3"/>
  <pageSetup orientation="portrait" horizontalDpi="0" verticalDpi="0" r:id="rId1"/>
  <ignoredErrors>
    <ignoredError sqref="A13:A29 C13:C29 E13:E29" unlockedFormula="1"/>
  </ignoredErrors>
  <drawing r:id="rId2"/>
  <legacyDrawing r:id="rId3"/>
  <controls>
    <mc:AlternateContent xmlns:mc="http://schemas.openxmlformats.org/markup-compatibility/2006">
      <mc:Choice Requires="x14">
        <control shapeId="1029" r:id="rId4" name="CommandButton1">
          <controlPr defaultSize="0" autoLine="0" r:id="rId5">
            <anchor moveWithCells="1">
              <from>
                <xdr:col>8</xdr:col>
                <xdr:colOff>0</xdr:colOff>
                <xdr:row>9</xdr:row>
                <xdr:rowOff>238125</xdr:rowOff>
              </from>
              <to>
                <xdr:col>11</xdr:col>
                <xdr:colOff>171450</xdr:colOff>
                <xdr:row>11</xdr:row>
                <xdr:rowOff>266700</xdr:rowOff>
              </to>
            </anchor>
          </controlPr>
        </control>
      </mc:Choice>
      <mc:Fallback>
        <control shapeId="102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2C4C-9683-49C7-B5D1-DF9730ACD6DB}">
  <sheetPr codeName="Sheet2"/>
  <dimension ref="A1:E6"/>
  <sheetViews>
    <sheetView workbookViewId="0">
      <selection sqref="A1:E6"/>
    </sheetView>
  </sheetViews>
  <sheetFormatPr defaultColWidth="31.140625" defaultRowHeight="24" customHeight="1" x14ac:dyDescent="0.3"/>
  <cols>
    <col min="1" max="1" width="8.85546875" style="38" bestFit="1" customWidth="1"/>
    <col min="2" max="2" width="30" style="38" bestFit="1" customWidth="1"/>
    <col min="3" max="3" width="70.140625" style="38" bestFit="1" customWidth="1"/>
    <col min="4" max="4" width="25.85546875" style="38" bestFit="1" customWidth="1"/>
    <col min="5" max="5" width="21.85546875" style="38" bestFit="1" customWidth="1"/>
    <col min="6" max="16384" width="31.140625" style="38"/>
  </cols>
  <sheetData>
    <row r="1" spans="1:5" ht="24" customHeight="1" x14ac:dyDescent="0.3">
      <c r="A1" s="38" t="s">
        <v>16</v>
      </c>
      <c r="B1" s="38" t="s">
        <v>29</v>
      </c>
      <c r="C1" s="38" t="s">
        <v>25</v>
      </c>
      <c r="D1" s="38" t="s">
        <v>14</v>
      </c>
      <c r="E1" s="38" t="s">
        <v>15</v>
      </c>
    </row>
    <row r="2" spans="1:5" ht="24" customHeight="1" x14ac:dyDescent="0.3">
      <c r="A2" s="38">
        <v>1</v>
      </c>
      <c r="B2" s="38" t="s">
        <v>17</v>
      </c>
      <c r="C2" s="38" t="s">
        <v>26</v>
      </c>
      <c r="D2" s="38">
        <v>9858685758</v>
      </c>
      <c r="E2" s="38" t="s">
        <v>21</v>
      </c>
    </row>
    <row r="3" spans="1:5" ht="24" customHeight="1" x14ac:dyDescent="0.3">
      <c r="A3" s="38">
        <v>2</v>
      </c>
      <c r="B3" s="38" t="s">
        <v>18</v>
      </c>
      <c r="C3" s="38" t="s">
        <v>27</v>
      </c>
      <c r="D3" s="38">
        <v>9858722582</v>
      </c>
      <c r="E3" s="38" t="s">
        <v>22</v>
      </c>
    </row>
    <row r="4" spans="1:5" ht="24" customHeight="1" x14ac:dyDescent="0.3">
      <c r="A4" s="38">
        <v>3</v>
      </c>
      <c r="B4" s="38" t="s">
        <v>19</v>
      </c>
      <c r="C4" s="38" t="s">
        <v>28</v>
      </c>
      <c r="D4" s="38">
        <v>9858759406</v>
      </c>
      <c r="E4" s="38" t="s">
        <v>23</v>
      </c>
    </row>
    <row r="5" spans="1:5" ht="24" customHeight="1" x14ac:dyDescent="0.3">
      <c r="A5" s="38">
        <v>4</v>
      </c>
      <c r="B5" s="38" t="s">
        <v>20</v>
      </c>
      <c r="C5" s="38" t="s">
        <v>42</v>
      </c>
      <c r="D5" s="38">
        <v>9858796230</v>
      </c>
      <c r="E5" s="38" t="s">
        <v>24</v>
      </c>
    </row>
    <row r="6" spans="1:5" ht="24" customHeight="1" x14ac:dyDescent="0.3">
      <c r="A6" s="38">
        <v>5</v>
      </c>
      <c r="B6" s="38" t="s">
        <v>30</v>
      </c>
      <c r="C6" s="38" t="s">
        <v>32</v>
      </c>
      <c r="D6" s="38">
        <v>9043017689</v>
      </c>
      <c r="E6" s="38" t="s">
        <v>31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3BE42-3B73-4061-AA94-84953B8D3462}">
  <sheetPr codeName="Sheet3"/>
  <dimension ref="A1:D5"/>
  <sheetViews>
    <sheetView workbookViewId="0">
      <selection sqref="A1:XFD1048576"/>
    </sheetView>
  </sheetViews>
  <sheetFormatPr defaultColWidth="31.140625" defaultRowHeight="24" customHeight="1" x14ac:dyDescent="0.3"/>
  <cols>
    <col min="1" max="16384" width="31.140625" style="38"/>
  </cols>
  <sheetData>
    <row r="1" spans="1:4" ht="24" customHeight="1" x14ac:dyDescent="0.3">
      <c r="A1" s="38" t="s">
        <v>39</v>
      </c>
      <c r="B1" s="38" t="s">
        <v>40</v>
      </c>
      <c r="C1" s="38" t="s">
        <v>41</v>
      </c>
      <c r="D1" s="38" t="s">
        <v>3</v>
      </c>
    </row>
    <row r="2" spans="1:4" ht="24" customHeight="1" x14ac:dyDescent="0.3">
      <c r="A2" s="38">
        <v>1</v>
      </c>
      <c r="B2" s="38" t="s">
        <v>38</v>
      </c>
      <c r="C2" s="38">
        <v>256852</v>
      </c>
      <c r="D2" s="38">
        <v>350</v>
      </c>
    </row>
    <row r="3" spans="1:4" ht="24" customHeight="1" x14ac:dyDescent="0.3">
      <c r="A3" s="38">
        <v>2</v>
      </c>
      <c r="B3" s="38" t="s">
        <v>43</v>
      </c>
      <c r="C3" s="38">
        <v>285333</v>
      </c>
      <c r="D3" s="38">
        <v>15000</v>
      </c>
    </row>
    <row r="4" spans="1:4" ht="24" customHeight="1" x14ac:dyDescent="0.3">
      <c r="A4" s="38">
        <v>3</v>
      </c>
      <c r="B4" s="38" t="s">
        <v>44</v>
      </c>
      <c r="C4" s="38">
        <v>313814</v>
      </c>
      <c r="D4" s="38">
        <v>380</v>
      </c>
    </row>
    <row r="5" spans="1:4" ht="24" customHeight="1" x14ac:dyDescent="0.3">
      <c r="A5" s="38">
        <v>4</v>
      </c>
      <c r="B5" s="38" t="s">
        <v>45</v>
      </c>
      <c r="C5" s="38">
        <v>342295</v>
      </c>
      <c r="D5" s="38">
        <v>480</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F50-F7AB-4612-BB99-BD3D75A02D17}">
  <sheetPr codeName="Sheet4"/>
  <dimension ref="A1:D8"/>
  <sheetViews>
    <sheetView tabSelected="1" workbookViewId="0">
      <selection activeCell="A4" sqref="A4"/>
    </sheetView>
  </sheetViews>
  <sheetFormatPr defaultColWidth="20.7109375" defaultRowHeight="31.5" customHeight="1" x14ac:dyDescent="0.25"/>
  <cols>
    <col min="1" max="1" width="24.7109375" style="75" bestFit="1" customWidth="1"/>
    <col min="2" max="2" width="12.140625" style="75" customWidth="1"/>
    <col min="3" max="3" width="15.5703125" style="76" bestFit="1" customWidth="1"/>
    <col min="4" max="4" width="10.42578125" style="75" bestFit="1" customWidth="1"/>
    <col min="5" max="16384" width="20.7109375" style="75"/>
  </cols>
  <sheetData>
    <row r="1" spans="1:4" s="73" customFormat="1" ht="31.5" customHeight="1" x14ac:dyDescent="0.25">
      <c r="A1" s="73" t="s">
        <v>46</v>
      </c>
      <c r="B1" s="73" t="s">
        <v>48</v>
      </c>
      <c r="C1" s="74" t="s">
        <v>47</v>
      </c>
      <c r="D1" s="73" t="s">
        <v>6</v>
      </c>
    </row>
    <row r="2" spans="1:4" ht="31.5" customHeight="1" x14ac:dyDescent="0.25">
      <c r="A2" s="75" t="s">
        <v>20</v>
      </c>
      <c r="B2" s="75">
        <v>1008</v>
      </c>
      <c r="C2" s="76">
        <v>43753.675949074073</v>
      </c>
      <c r="D2" s="75">
        <v>32943</v>
      </c>
    </row>
    <row r="3" spans="1:4" ht="31.5" customHeight="1" x14ac:dyDescent="0.25">
      <c r="A3" s="75" t="s">
        <v>20</v>
      </c>
      <c r="B3" s="75">
        <v>1007</v>
      </c>
      <c r="C3" s="76">
        <v>43753.674537037034</v>
      </c>
      <c r="D3" s="75">
        <v>82358</v>
      </c>
    </row>
    <row r="4" spans="1:4" s="77" customFormat="1" ht="31.5" customHeight="1" x14ac:dyDescent="0.25">
      <c r="A4" s="77" t="s">
        <v>30</v>
      </c>
      <c r="B4" s="77">
        <v>1006</v>
      </c>
      <c r="C4" s="78">
        <v>43753.67287037037</v>
      </c>
      <c r="D4" s="77">
        <v>1153</v>
      </c>
    </row>
    <row r="5" spans="1:4" ht="31.5" customHeight="1" x14ac:dyDescent="0.25">
      <c r="A5" s="75" t="s">
        <v>17</v>
      </c>
      <c r="B5" s="75">
        <v>1005</v>
      </c>
      <c r="C5" s="76">
        <v>43753.672488425924</v>
      </c>
      <c r="D5" s="79">
        <v>32943</v>
      </c>
    </row>
    <row r="6" spans="1:4" ht="31.5" customHeight="1" x14ac:dyDescent="0.25">
      <c r="D6" s="76"/>
    </row>
    <row r="7" spans="1:4" ht="31.5" customHeight="1" x14ac:dyDescent="0.25">
      <c r="D7" s="76"/>
    </row>
    <row r="8" spans="1:4" ht="31.5" customHeight="1" x14ac:dyDescent="0.25">
      <c r="D8" s="80"/>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Invoice</vt:lpstr>
      <vt:lpstr>Customers</vt:lpstr>
      <vt:lpstr>Products</vt:lpstr>
      <vt:lpstr>Sales Report</vt:lpstr>
      <vt:lpstr>CUSTOMER</vt:lpstr>
      <vt:lpstr>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Roy</dc:creator>
  <cp:lastModifiedBy>Stanley Roy</cp:lastModifiedBy>
  <cp:lastPrinted>2019-10-15T10:43:21Z</cp:lastPrinted>
  <dcterms:created xsi:type="dcterms:W3CDTF">2019-10-15T06:05:28Z</dcterms:created>
  <dcterms:modified xsi:type="dcterms:W3CDTF">2019-10-15T10:46:29Z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4367a7db-5f8a-4e38-b983-e42187846ea9</vt:lpwstr>
  </property>
</Properties>
</file>